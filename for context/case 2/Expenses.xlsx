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s" sheetId="1" r:id="rId5"/>
    <sheet state="visible" name="Daily_Events" sheetId="2" r:id="rId6"/>
    <sheet state="visible" name="Expenses" sheetId="3" r:id="rId7"/>
    <sheet state="visible" name="Yield" sheetId="4" r:id="rId8"/>
    <sheet state="visible" name="Daily_Prices" sheetId="5" r:id="rId9"/>
    <sheet state="visible" name="Disease_Log" sheetId="6" r:id="rId10"/>
    <sheet state="visible" name="Reminder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<sst xmlns="http://schemas.openxmlformats.org/spreadsheetml/2006/main" count="68" uniqueCount="48">
  <si>
    <t>Crop_ID</t>
  </si>
  <si>
    <t>Crop_Name</t>
  </si>
  <si>
    <t>Variety</t>
  </si>
  <si>
    <t>Season</t>
  </si>
  <si>
    <t>Area</t>
  </si>
  <si>
    <t>C1</t>
  </si>
  <si>
    <t>Tomato</t>
  </si>
  <si>
    <t>Local</t>
  </si>
  <si>
    <t>Summer</t>
  </si>
  <si>
    <t>Plot A</t>
  </si>
  <si>
    <t>C2</t>
  </si>
  <si>
    <t>Chili</t>
  </si>
  <si>
    <t>Bhut Jolokia</t>
  </si>
  <si>
    <t>Plot B</t>
  </si>
  <si>
    <t>C3</t>
  </si>
  <si>
    <t>Brinjal</t>
  </si>
  <si>
    <t>Hybrid</t>
  </si>
  <si>
    <t>Rainy</t>
  </si>
  <si>
    <t>Plot C</t>
  </si>
  <si>
    <t>Date</t>
  </si>
  <si>
    <t>Action</t>
  </si>
  <si>
    <t>Stage</t>
  </si>
  <si>
    <t>Notes</t>
  </si>
  <si>
    <t>Photo_Link</t>
  </si>
  <si>
    <t xml:space="preserve">Planted </t>
  </si>
  <si>
    <t>Planted</t>
  </si>
  <si>
    <t>Category</t>
  </si>
  <si>
    <t>Amount</t>
  </si>
  <si>
    <t>Description</t>
  </si>
  <si>
    <t>Fertilizer</t>
  </si>
  <si>
    <t>Tools</t>
  </si>
  <si>
    <t>Yield_Value</t>
  </si>
  <si>
    <t>Unit</t>
  </si>
  <si>
    <t>Yield_in_KG</t>
  </si>
  <si>
    <t>quintal</t>
  </si>
  <si>
    <t>Price_per_KG</t>
  </si>
  <si>
    <t>Source/Market</t>
  </si>
  <si>
    <t>Issue</t>
  </si>
  <si>
    <t>Severity</t>
  </si>
  <si>
    <t>Task</t>
  </si>
  <si>
    <t>Interval_Minutes</t>
  </si>
  <si>
    <t>Last_Done</t>
  </si>
  <si>
    <t>Next_Alert</t>
  </si>
  <si>
    <t xml:space="preserve">Total yield in crop </t>
  </si>
  <si>
    <t>Avg price per crop</t>
  </si>
  <si>
    <t xml:space="preserve">Revenue </t>
  </si>
  <si>
    <t xml:space="preserve">Total cost </t>
  </si>
  <si>
    <t>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</si>
</sst>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0</v>
      </c>
      <c r="C1" s="1" t="s">
        <v>20</v>
      </c>
      <c r="D1" s="1" t="s">
        <v>21</v>
      </c>
      <c r="E1" s="1" t="s">
        <v>22</v>
      </c>
      <c r="F1" s="1" t="s">
        <v>23</v>
      </c>
    </row>
    <row r="2">
      <c r="A2" s="2">
        <f>TODAY()</f>
        <v>46054</v>
      </c>
      <c r="B2" s="1" t="s">
        <v>5</v>
      </c>
      <c r="C2" s="1" t="s">
        <v>24</v>
      </c>
      <c r="D2" s="1" t="s">
        <v>25</v>
      </c>
    </row>
    <row r="3">
      <c r="C3" s="3"/>
      <c r="D3" s="3"/>
    </row>
    <row r="4">
      <c r="C4" s="3"/>
      <c r="D4" s="3"/>
    </row>
    <row r="5">
      <c r="C5" s="3"/>
      <c r="D5" s="3"/>
    </row>
    <row r="6">
      <c r="C6" s="3"/>
      <c r="D6" s="3"/>
    </row>
    <row r="7">
      <c r="C7" s="3"/>
      <c r="D7" s="3"/>
    </row>
    <row r="8">
      <c r="C8" s="3"/>
      <c r="D8" s="3"/>
    </row>
    <row r="9">
      <c r="C9" s="3"/>
      <c r="D9" s="3"/>
    </row>
    <row r="10">
      <c r="C10" s="3"/>
      <c r="D10" s="3"/>
    </row>
    <row r="11">
      <c r="C11" s="3"/>
      <c r="D11" s="3"/>
    </row>
    <row r="12">
      <c r="C12" s="3"/>
      <c r="D12" s="3"/>
    </row>
    <row r="13">
      <c r="C13" s="3"/>
      <c r="D13" s="3"/>
    </row>
    <row r="14">
      <c r="C14" s="3"/>
      <c r="D14" s="3"/>
    </row>
    <row r="15">
      <c r="C15" s="3"/>
      <c r="D15" s="3"/>
    </row>
    <row r="16">
      <c r="C16" s="3"/>
      <c r="D16" s="3"/>
    </row>
    <row r="17">
      <c r="C17" s="3"/>
      <c r="D17" s="3"/>
    </row>
    <row r="18">
      <c r="C18" s="3"/>
      <c r="D18" s="3"/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ataValidations>
    <dataValidation type="list" allowBlank="1" showErrorMessage="1" sqref="C1:C1000">
      <formula1>"Planted ,Watered,Sprayed,Pruned,Harvested,Disease,Pest"</formula1>
    </dataValidation>
    <dataValidation type="list" allowBlank="1" showErrorMessage="1" sqref="D1:D1000">
      <formula1>"Planted,Finished,Growing,Flowered,Fruiting,Ripe"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0</v>
      </c>
      <c r="C1" s="1" t="s">
        <v>26</v>
      </c>
      <c r="D1" s="1" t="s">
        <v>27</v>
      </c>
      <c r="E1" s="1" t="s">
        <v>28</v>
      </c>
    </row>
    <row r="2">
      <c r="A2" s="2">
        <f t="shared" ref="A2:A3" si="1">TODAY()</f>
        <v>46054</v>
      </c>
      <c r="B2" s="1" t="s">
        <v>5</v>
      </c>
      <c r="C2" s="1" t="s">
        <v>29</v>
      </c>
      <c r="D2" s="1">
        <v>100.0</v>
      </c>
    </row>
    <row r="3">
      <c r="A3" s="2">
        <f t="shared" si="1"/>
        <v>46054</v>
      </c>
      <c r="B3" s="1" t="s">
        <v>5</v>
      </c>
      <c r="C3" s="1" t="s">
        <v>30</v>
      </c>
      <c r="D3" s="1">
        <v>200.0</v>
      </c>
    </row>
    <row r="4">
      <c r="C4" s="3"/>
    </row>
    <row r="5">
      <c r="C5" s="3"/>
    </row>
    <row r="6">
      <c r="C6" s="3"/>
    </row>
    <row r="7">
      <c r="C7" s="3"/>
    </row>
    <row r="8">
      <c r="C8" s="3"/>
    </row>
    <row r="9">
      <c r="C9" s="3"/>
    </row>
    <row r="10">
      <c r="C10" s="3"/>
    </row>
    <row r="11"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ataValidations>
    <dataValidation type="list" allowBlank="1" showErrorMessage="1" sqref="C1:C1000">
      <formula1>"Seeds,Transport,Fertilizer,Spray,Tools,Labor,Water,Other"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22</v>
      </c>
    </row>
    <row r="2">
      <c r="A2" s="2">
        <f>TODAY()</f>
        <v>46054</v>
      </c>
      <c r="B2" s="1" t="s">
        <v>5</v>
      </c>
      <c r="C2" s="1">
        <v>2.0</v>
      </c>
      <c r="D2" s="1" t="s">
        <v>34</v>
      </c>
      <c r="E2" s="3">
        <f t="shared" ref="E2:E65" si="1">IF(D2="kg",C2,IF(D2="quintal",C2*100,""))</f>
        <v>200</v>
      </c>
    </row>
    <row r="3">
      <c r="D3" s="3"/>
      <c r="E3" s="3" t="str">
        <f t="shared" si="1"/>
        <v/>
      </c>
    </row>
    <row r="4">
      <c r="D4" s="3"/>
      <c r="E4" s="3" t="str">
        <f t="shared" si="1"/>
        <v/>
      </c>
    </row>
    <row r="5">
      <c r="D5" s="3"/>
      <c r="E5" s="3" t="str">
        <f t="shared" si="1"/>
        <v/>
      </c>
    </row>
    <row r="6">
      <c r="D6" s="3"/>
      <c r="E6" s="3" t="str">
        <f t="shared" si="1"/>
        <v/>
      </c>
    </row>
    <row r="7">
      <c r="D7" s="3"/>
      <c r="E7" s="3" t="str">
        <f t="shared" si="1"/>
        <v/>
      </c>
    </row>
    <row r="8">
      <c r="D8" s="3"/>
      <c r="E8" s="3" t="str">
        <f t="shared" si="1"/>
        <v/>
      </c>
    </row>
    <row r="9">
      <c r="D9" s="3"/>
      <c r="E9" s="3" t="str">
        <f t="shared" si="1"/>
        <v/>
      </c>
    </row>
    <row r="10">
      <c r="D10" s="3"/>
      <c r="E10" s="3" t="str">
        <f t="shared" si="1"/>
        <v/>
      </c>
    </row>
    <row r="11">
      <c r="D11" s="3"/>
      <c r="E11" s="3" t="str">
        <f t="shared" si="1"/>
        <v/>
      </c>
    </row>
    <row r="12">
      <c r="D12" s="3"/>
      <c r="E12" s="3" t="str">
        <f t="shared" si="1"/>
        <v/>
      </c>
    </row>
    <row r="13">
      <c r="D13" s="3"/>
      <c r="E13" s="3" t="str">
        <f t="shared" si="1"/>
        <v/>
      </c>
    </row>
    <row r="14">
      <c r="D14" s="3"/>
      <c r="E14" s="3" t="str">
        <f t="shared" si="1"/>
        <v/>
      </c>
    </row>
    <row r="15">
      <c r="D15" s="3"/>
      <c r="E15" s="3" t="str">
        <f t="shared" si="1"/>
        <v/>
      </c>
    </row>
    <row r="16">
      <c r="D16" s="3"/>
      <c r="E16" s="3" t="str">
        <f t="shared" si="1"/>
        <v/>
      </c>
    </row>
    <row r="17">
      <c r="D17" s="3"/>
      <c r="E17" s="3" t="str">
        <f t="shared" si="1"/>
        <v/>
      </c>
    </row>
    <row r="18">
      <c r="D18" s="3"/>
      <c r="E18" s="3" t="str">
        <f t="shared" si="1"/>
        <v/>
      </c>
    </row>
    <row r="19">
      <c r="D19" s="3"/>
      <c r="E19" s="3" t="str">
        <f t="shared" si="1"/>
        <v/>
      </c>
    </row>
    <row r="20">
      <c r="D20" s="3"/>
      <c r="E20" s="3" t="str">
        <f t="shared" si="1"/>
        <v/>
      </c>
    </row>
    <row r="21">
      <c r="D21" s="3"/>
      <c r="E21" s="3" t="str">
        <f t="shared" si="1"/>
        <v/>
      </c>
    </row>
    <row r="22">
      <c r="D22" s="3"/>
      <c r="E22" s="3" t="str">
        <f t="shared" si="1"/>
        <v/>
      </c>
    </row>
    <row r="23">
      <c r="D23" s="3"/>
      <c r="E23" s="3" t="str">
        <f t="shared" si="1"/>
        <v/>
      </c>
    </row>
    <row r="24">
      <c r="D24" s="3"/>
      <c r="E24" s="3" t="str">
        <f t="shared" si="1"/>
        <v/>
      </c>
    </row>
    <row r="25">
      <c r="D25" s="3"/>
      <c r="E25" s="3" t="str">
        <f t="shared" si="1"/>
        <v/>
      </c>
    </row>
    <row r="26">
      <c r="D26" s="3"/>
      <c r="E26" s="3" t="str">
        <f t="shared" si="1"/>
        <v/>
      </c>
    </row>
    <row r="27">
      <c r="D27" s="3"/>
      <c r="E27" s="3" t="str">
        <f t="shared" si="1"/>
        <v/>
      </c>
    </row>
    <row r="28">
      <c r="D28" s="3"/>
      <c r="E28" s="3" t="str">
        <f t="shared" si="1"/>
        <v/>
      </c>
    </row>
    <row r="29">
      <c r="D29" s="3"/>
      <c r="E29" s="3" t="str">
        <f t="shared" si="1"/>
        <v/>
      </c>
    </row>
    <row r="30">
      <c r="D30" s="3"/>
      <c r="E30" s="3" t="str">
        <f t="shared" si="1"/>
        <v/>
      </c>
    </row>
    <row r="31">
      <c r="D31" s="3"/>
      <c r="E31" s="3" t="str">
        <f t="shared" si="1"/>
        <v/>
      </c>
    </row>
    <row r="32">
      <c r="D32" s="3"/>
      <c r="E32" s="3" t="str">
        <f t="shared" si="1"/>
        <v/>
      </c>
    </row>
    <row r="33">
      <c r="D33" s="3"/>
      <c r="E33" s="3" t="str">
        <f t="shared" si="1"/>
        <v/>
      </c>
    </row>
    <row r="34">
      <c r="D34" s="3"/>
      <c r="E34" s="3" t="str">
        <f t="shared" si="1"/>
        <v/>
      </c>
    </row>
    <row r="35">
      <c r="D35" s="3"/>
      <c r="E35" s="3" t="str">
        <f t="shared" si="1"/>
        <v/>
      </c>
    </row>
    <row r="36">
      <c r="D36" s="3"/>
      <c r="E36" s="3" t="str">
        <f t="shared" si="1"/>
        <v/>
      </c>
    </row>
    <row r="37">
      <c r="D37" s="3"/>
      <c r="E37" s="3" t="str">
        <f t="shared" si="1"/>
        <v/>
      </c>
    </row>
    <row r="38">
      <c r="D38" s="3"/>
      <c r="E38" s="3" t="str">
        <f t="shared" si="1"/>
        <v/>
      </c>
    </row>
    <row r="39">
      <c r="D39" s="3"/>
      <c r="E39" s="3" t="str">
        <f t="shared" si="1"/>
        <v/>
      </c>
    </row>
    <row r="40">
      <c r="D40" s="3"/>
      <c r="E40" s="3" t="str">
        <f t="shared" si="1"/>
        <v/>
      </c>
    </row>
    <row r="41">
      <c r="D41" s="3"/>
      <c r="E41" s="3" t="str">
        <f t="shared" si="1"/>
        <v/>
      </c>
    </row>
    <row r="42">
      <c r="D42" s="3"/>
      <c r="E42" s="3" t="str">
        <f t="shared" si="1"/>
        <v/>
      </c>
    </row>
    <row r="43">
      <c r="D43" s="3"/>
      <c r="E43" s="3" t="str">
        <f t="shared" si="1"/>
        <v/>
      </c>
    </row>
    <row r="44">
      <c r="D44" s="3"/>
      <c r="E44" s="3" t="str">
        <f t="shared" si="1"/>
        <v/>
      </c>
    </row>
    <row r="45">
      <c r="D45" s="3"/>
      <c r="E45" s="3" t="str">
        <f t="shared" si="1"/>
        <v/>
      </c>
    </row>
    <row r="46">
      <c r="D46" s="3"/>
      <c r="E46" s="3" t="str">
        <f t="shared" si="1"/>
        <v/>
      </c>
    </row>
    <row r="47">
      <c r="D47" s="3"/>
      <c r="E47" s="3" t="str">
        <f t="shared" si="1"/>
        <v/>
      </c>
    </row>
    <row r="48">
      <c r="D48" s="3"/>
      <c r="E48" s="3" t="str">
        <f t="shared" si="1"/>
        <v/>
      </c>
    </row>
    <row r="49">
      <c r="D49" s="3"/>
      <c r="E49" s="3" t="str">
        <f t="shared" si="1"/>
        <v/>
      </c>
    </row>
    <row r="50">
      <c r="D50" s="3"/>
      <c r="E50" s="3" t="str">
        <f t="shared" si="1"/>
        <v/>
      </c>
    </row>
    <row r="51">
      <c r="D51" s="3"/>
      <c r="E51" s="3" t="str">
        <f t="shared" si="1"/>
        <v/>
      </c>
    </row>
    <row r="52">
      <c r="D52" s="3"/>
      <c r="E52" s="3" t="str">
        <f t="shared" si="1"/>
        <v/>
      </c>
    </row>
    <row r="53">
      <c r="D53" s="3"/>
      <c r="E53" s="3" t="str">
        <f t="shared" si="1"/>
        <v/>
      </c>
    </row>
    <row r="54">
      <c r="D54" s="3"/>
      <c r="E54" s="3" t="str">
        <f t="shared" si="1"/>
        <v/>
      </c>
    </row>
    <row r="55">
      <c r="D55" s="3"/>
      <c r="E55" s="3" t="str">
        <f t="shared" si="1"/>
        <v/>
      </c>
    </row>
    <row r="56">
      <c r="D56" s="3"/>
      <c r="E56" s="3" t="str">
        <f t="shared" si="1"/>
        <v/>
      </c>
    </row>
    <row r="57">
      <c r="D57" s="3"/>
      <c r="E57" s="3" t="str">
        <f t="shared" si="1"/>
        <v/>
      </c>
    </row>
    <row r="58">
      <c r="D58" s="3"/>
      <c r="E58" s="3" t="str">
        <f t="shared" si="1"/>
        <v/>
      </c>
    </row>
    <row r="59">
      <c r="D59" s="3"/>
      <c r="E59" s="3" t="str">
        <f t="shared" si="1"/>
        <v/>
      </c>
    </row>
    <row r="60">
      <c r="D60" s="3"/>
      <c r="E60" s="3" t="str">
        <f t="shared" si="1"/>
        <v/>
      </c>
    </row>
    <row r="61">
      <c r="D61" s="3"/>
      <c r="E61" s="3" t="str">
        <f t="shared" si="1"/>
        <v/>
      </c>
    </row>
    <row r="62">
      <c r="D62" s="3"/>
      <c r="E62" s="3" t="str">
        <f t="shared" si="1"/>
        <v/>
      </c>
    </row>
    <row r="63">
      <c r="D63" s="3"/>
      <c r="E63" s="3" t="str">
        <f t="shared" si="1"/>
        <v/>
      </c>
    </row>
    <row r="64">
      <c r="D64" s="3"/>
      <c r="E64" s="3" t="str">
        <f t="shared" si="1"/>
        <v/>
      </c>
    </row>
    <row r="65">
      <c r="D65" s="3"/>
      <c r="E65" s="3" t="str">
        <f t="shared" si="1"/>
        <v/>
      </c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</sheetData>
  <dataValidations>
    <dataValidation type="list" allowBlank="1" showErrorMessage="1" sqref="D1:D100">
      <formula1>"kg,quintal"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0</v>
      </c>
      <c r="C1" s="1" t="s">
        <v>35</v>
      </c>
      <c r="D1" s="1" t="s">
        <v>36</v>
      </c>
    </row>
    <row r="2">
      <c r="A2" s="2">
        <f>TODAY()</f>
        <v>46054</v>
      </c>
      <c r="B2" s="1" t="s">
        <v>5</v>
      </c>
      <c r="C2" s="1">
        <v>50.0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0</v>
      </c>
      <c r="C1" s="1" t="s">
        <v>37</v>
      </c>
      <c r="D1" s="1" t="s">
        <v>21</v>
      </c>
      <c r="E1" s="1" t="s">
        <v>38</v>
      </c>
      <c r="F1" s="1" t="s">
        <v>22</v>
      </c>
      <c r="G1" s="1" t="s">
        <v>23</v>
      </c>
    </row>
    <row r="2">
      <c r="B2" s="3">
        <f>COUNTIFS(
Disease_Log!A:A,"&gt;="&amp;DATE(2026,6,1),
Disease_Log!A:A,"&lt;="&amp;EOMONTH(DATE(2026,6,1),0)
)
</f>
        <v>0</v>
      </c>
      <c r="E2" s="3"/>
    </row>
    <row r="3">
      <c r="B3" s="1"/>
      <c r="E3" s="3"/>
    </row>
    <row r="4">
      <c r="B4" s="1"/>
      <c r="E4" s="3"/>
    </row>
    <row r="5">
      <c r="E5" s="3"/>
    </row>
    <row r="6">
      <c r="E6" s="3"/>
    </row>
    <row r="7">
      <c r="E7" s="3"/>
    </row>
    <row r="8">
      <c r="E8" s="3"/>
    </row>
    <row r="9">
      <c r="E9" s="3"/>
    </row>
    <row r="10">
      <c r="E10" s="3"/>
    </row>
    <row r="11">
      <c r="E11" s="3"/>
    </row>
    <row r="12">
      <c r="E12" s="3"/>
    </row>
    <row r="13">
      <c r="E13" s="3"/>
    </row>
    <row r="14">
      <c r="E14" s="3"/>
    </row>
    <row r="15">
      <c r="E15" s="3"/>
    </row>
    <row r="16">
      <c r="E16" s="3"/>
    </row>
    <row r="17">
      <c r="E17" s="3"/>
    </row>
    <row r="18">
      <c r="E18" s="3"/>
    </row>
    <row r="19">
      <c r="E19" s="3"/>
    </row>
    <row r="20">
      <c r="E20" s="3"/>
    </row>
    <row r="21">
      <c r="E21" s="3"/>
    </row>
    <row r="22">
      <c r="E22" s="3"/>
    </row>
    <row r="23">
      <c r="E23" s="3"/>
    </row>
    <row r="24">
      <c r="E24" s="3"/>
    </row>
    <row r="25">
      <c r="E25" s="3"/>
    </row>
    <row r="26">
      <c r="E26" s="3"/>
    </row>
    <row r="27"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</sheetData>
  <dataValidations>
    <dataValidation type="list" allowBlank="1" showErrorMessage="1" sqref="E2:E48">
      <formula1>"Low,Medium,High"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E2" s="3" t="str">
        <f>IF(D2="","",D2+(C2/1440))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43</v>
      </c>
      <c r="B1" s="3">
        <f>SUMIF(Yield!B:B,"C1",Yield!E:E)</f>
        <v>200</v>
      </c>
    </row>
    <row r="2">
      <c r="A2" s="1" t="s">
        <v>44</v>
      </c>
      <c r="B2" s="3">
        <f>AVERAGEIF(Daily_Prices!B:B,"C1",Daily_Prices!C:C)</f>
        <v>50</v>
      </c>
    </row>
    <row r="3">
      <c r="A3" s="1" t="s">
        <v>45</v>
      </c>
      <c r="B3" s="3" t="str">
        <f>Total_Yield_KG * Avg_Price_per_KG</f>
        <v>#NAME?</v>
      </c>
    </row>
    <row r="4">
      <c r="A4" s="1" t="s">
        <v>46</v>
      </c>
      <c r="B4" s="3">
        <f>SUMIF(Expenses!B:B,"C1",Expenses!D:D)</f>
        <v>300</v>
      </c>
    </row>
    <row r="5">
      <c r="A5" s="1" t="s">
        <v>47</v>
      </c>
      <c r="B5" s="3" t="str">
        <f>Revenue - Cost</f>
        <v>#NAME?</v>
      </c>
    </row>
  </sheetData>
  <drawing r:id="rId1"/>
</worksheet>
</file>